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2021158\OneDrive - Appleby College\S2\IB\Shared Folder\"/>
    </mc:Choice>
  </mc:AlternateContent>
  <xr:revisionPtr revIDLastSave="0" documentId="13_ncr:1_{D1E4FF5D-50F2-4872-A27A-BBF5661E64C3}" xr6:coauthVersionLast="45" xr6:coauthVersionMax="45" xr10:uidLastSave="{00000000-0000-0000-0000-000000000000}"/>
  <bookViews>
    <workbookView xWindow="-110" yWindow="-110" windowWidth="24250" windowHeight="16860" activeTab="1" xr2:uid="{00000000-000D-0000-FFFF-FFFF00000000}"/>
  </bookViews>
  <sheets>
    <sheet name="Options" sheetId="1" r:id="rId1"/>
    <sheet name="Premade" sheetId="3" r:id="rId2"/>
    <sheet name="Defaul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G17" i="1"/>
  <c r="G15" i="1"/>
  <c r="G10" i="1"/>
  <c r="G4" i="1"/>
  <c r="G8" i="1"/>
  <c r="G13" i="1"/>
  <c r="G14" i="1"/>
  <c r="G19" i="1"/>
  <c r="G12" i="1"/>
  <c r="G3" i="1"/>
  <c r="G2" i="1"/>
  <c r="G16" i="1"/>
  <c r="G6" i="1"/>
  <c r="G11" i="1"/>
  <c r="G9" i="1"/>
  <c r="G5" i="1"/>
  <c r="G7" i="1"/>
</calcChain>
</file>

<file path=xl/sharedStrings.xml><?xml version="1.0" encoding="utf-8"?>
<sst xmlns="http://schemas.openxmlformats.org/spreadsheetml/2006/main" count="119" uniqueCount="57">
  <si>
    <t>Flavouring</t>
  </si>
  <si>
    <t>Candy</t>
  </si>
  <si>
    <t>Extra</t>
  </si>
  <si>
    <t>Fruit</t>
  </si>
  <si>
    <t>Nut</t>
  </si>
  <si>
    <t>Seed</t>
  </si>
  <si>
    <t>Peanuts</t>
  </si>
  <si>
    <t>Whole Cashews</t>
  </si>
  <si>
    <t>Almonds</t>
  </si>
  <si>
    <t>Walnuts</t>
  </si>
  <si>
    <t>Dried Mango</t>
  </si>
  <si>
    <t>Banana Chips</t>
  </si>
  <si>
    <t>Sultana Raisins</t>
  </si>
  <si>
    <t>Dried Cranberry</t>
  </si>
  <si>
    <t>Chocolate Chips</t>
  </si>
  <si>
    <t>M and Ms</t>
  </si>
  <si>
    <t>Mini Marshmellows</t>
  </si>
  <si>
    <t>Pretzel Twists</t>
  </si>
  <si>
    <t>BBQ Ringolos</t>
  </si>
  <si>
    <t>Pumpkin Seeds</t>
  </si>
  <si>
    <t>Sunflower Seed</t>
  </si>
  <si>
    <t>Sweetened Coconut</t>
  </si>
  <si>
    <t>BBQ Seasoning</t>
  </si>
  <si>
    <t>Cinnamon Sugar</t>
  </si>
  <si>
    <t>https://www.bulkbarn.ca/en/Products/All/Bbq-Ringolos-50</t>
  </si>
  <si>
    <t>https://www.bulkbarn.ca/en/Products/All/Pretzel-Twists-Salted-58</t>
  </si>
  <si>
    <t>https://www.bulkbarn.ca/en/Products/All/Banana-Chips-23</t>
  </si>
  <si>
    <t>https://www.bulkbarn.ca/en/Products/All/B-B-Q-Seasoning-938</t>
  </si>
  <si>
    <t>https://www.bulkbarn.ca/en/Products/All/Sunflower-Seeds-Hulled-Roasted-and-Salted-135</t>
  </si>
  <si>
    <t>https://www.bulkbarn.ca/en/Products/All/Peanuts-Dry-Roasted-and-Seasoned-108</t>
  </si>
  <si>
    <t>https://www.bulkbarn.ca/en/Products/All/Sultana-Raisins-Seedless-1700</t>
  </si>
  <si>
    <t>https://www.bulkbarn.ca/en/Products/All/Sweetened-Coconut-Shredded-1759</t>
  </si>
  <si>
    <t>https://www.bulkbarn.ca/en/Products/All/Dried-Mango-Slices-1729</t>
  </si>
  <si>
    <t>https://www.bulkbarn.ca/en/Products/All/Cinnamon-Sugar-859</t>
  </si>
  <si>
    <t>https://www.bulkbarn.ca/en/Products/All/Marshmallow-Hearts</t>
  </si>
  <si>
    <t>https://www.bulkbarn.ca/en/Products/All/Dried-Cranberries-1724</t>
  </si>
  <si>
    <t>https://www.bulkbarn.ca/en/Products/All/Milk-Chocolate-Chips-1794</t>
  </si>
  <si>
    <t>https://www.bulkbarn.ca/en/Products/All/Walnut-Pieces-1773</t>
  </si>
  <si>
    <t>https://www.bulkbarn.ca/en/Products/All/Pumpkin-Seeds-Hulled-Dry-Roasted-and-Unsalted-25</t>
  </si>
  <si>
    <t>https://www.bulkbarn.ca/en/Products/All/Almonds-Dry-Roasted-and-Salted-118</t>
  </si>
  <si>
    <t>https://www.bulkbarn.ca/en/Products/All/Whole-Cashews-Roasted-and-Salted-113</t>
  </si>
  <si>
    <t>https://www.bulkbarn.ca/en/Products/All/MandMS-Plain-Chocolate-Candies-620</t>
  </si>
  <si>
    <t>x</t>
  </si>
  <si>
    <t>imageLink</t>
  </si>
  <si>
    <t>cents_per_cm3</t>
  </si>
  <si>
    <t>density</t>
  </si>
  <si>
    <t>category</t>
  </si>
  <si>
    <t>price_per_100g</t>
  </si>
  <si>
    <t>bbid</t>
  </si>
  <si>
    <t>link</t>
  </si>
  <si>
    <t>name</t>
  </si>
  <si>
    <t>Classic Mix</t>
  </si>
  <si>
    <t>Crunchy Mix</t>
  </si>
  <si>
    <t>Categories</t>
  </si>
  <si>
    <t>Limit</t>
  </si>
  <si>
    <t>Low Carb Mix</t>
  </si>
  <si>
    <t xml:space="preserve">Sweet Lovers Mix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</si>
</sst>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#,##0.00_ ;[Red]\-#,##0.00\ 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8" fontId="0" fillId="0" borderId="0" xfId="0" applyNumberFormat="1"/>
    <xf numFmtId="0" fontId="0" fillId="2" borderId="0" xfId="0" applyFill="1"/>
    <xf numFmtId="8" fontId="0" fillId="2" borderId="0" xfId="0" applyNumberFormat="1" applyFill="1"/>
    <xf numFmtId="8" fontId="0" fillId="3" borderId="0" xfId="0" applyNumberFormat="1" applyFill="1"/>
    <xf numFmtId="0" fontId="1" fillId="0" borderId="0" xfId="1"/>
    <xf numFmtId="0" fontId="1" fillId="0" borderId="1" xfId="1" applyBorder="1"/>
    <xf numFmtId="164" fontId="0" fillId="0" borderId="0" xfId="0" applyNumberFormat="1"/>
    <xf numFmtId="164" fontId="0" fillId="3" borderId="0" xfId="0" applyNumberFormat="1" applyFill="1"/>
    <xf numFmtId="0" fontId="1" fillId="4" borderId="0" xfId="1" applyFont="1" applyFill="1" applyBorder="1" applyAlignment="1">
      <alignment horizontal="right" vertical="center"/>
    </xf>
    <xf numFmtId="0" fontId="1" fillId="0" borderId="2" xfId="1" applyBorder="1"/>
    <xf numFmtId="0" fontId="1" fillId="0" borderId="0" xfId="1" applyBorder="1"/>
    <xf numFmtId="0" fontId="0" fillId="0" borderId="0" xfId="0" applyFill="1"/>
    <xf numFmtId="0" fontId="0" fillId="5" borderId="0" xfId="0" applyFill="1"/>
    <xf numFmtId="0" fontId="0" fillId="6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qua-calc.com/page/density-table/substance/dried-blank-cranberries-coma-and-blank-upc-column--blank-070253730535" TargetMode="External"/><Relationship Id="rId13" Type="http://schemas.openxmlformats.org/officeDocument/2006/relationships/hyperlink" Target="https://www.aqua-calc.com/page/density-table/substance/snacks-coma-and-blank-potato-blank-chips-coma-and-blank-white-coma-and-blank-restructured-coma-and-blank-baked" TargetMode="External"/><Relationship Id="rId18" Type="http://schemas.openxmlformats.org/officeDocument/2006/relationships/hyperlink" Target="https://www.aqua-calc.com/page/density-table/substance/barbecue-blank-seasoning-blank-and-blank-rub-coma-and-blank-upc-column--blank-780778107506" TargetMode="External"/><Relationship Id="rId3" Type="http://schemas.openxmlformats.org/officeDocument/2006/relationships/hyperlink" Target="https://www.aqua-calc.com/page/density-table/substance/nuts-coma-and-blank-cashew-blank-nuts-coma-and-blank-dry-blank-roasted-coma-and-blank-without-blank-salt-blank-added" TargetMode="External"/><Relationship Id="rId7" Type="http://schemas.openxmlformats.org/officeDocument/2006/relationships/hyperlink" Target="https://www.aqua-calc.com/page/density-table/substance/sultana-blank-raisins-coma-and-blank-upc-column--blank-064777812860" TargetMode="External"/><Relationship Id="rId12" Type="http://schemas.openxmlformats.org/officeDocument/2006/relationships/hyperlink" Target="https://www.aqua-calc.com/page/density-table/substance/pretzels-coma-and-blank-upc-column--blank-030684700392" TargetMode="External"/><Relationship Id="rId17" Type="http://schemas.openxmlformats.org/officeDocument/2006/relationships/hyperlink" Target="https://www.aqua-calc.com/page/density-table/substance/sweetened-blank-coconut-blank-flakes-coma-and-blank-upc-column--blank-041268113903" TargetMode="External"/><Relationship Id="rId2" Type="http://schemas.openxmlformats.org/officeDocument/2006/relationships/hyperlink" Target="https://www.aqua-calc.com/page/density-table/substance/peanuts-coma-and-blank-shelled" TargetMode="External"/><Relationship Id="rId16" Type="http://schemas.openxmlformats.org/officeDocument/2006/relationships/hyperlink" Target="https://www.aqua-calc.com/page/density-table/substance/spices-coma-and-blank-cinnamon-coma-and-blank-ground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aqua-calc.com/page/density-table/substance/banana-blank-chips-coma-and-blank-upc-column--blank-021140022707" TargetMode="External"/><Relationship Id="rId6" Type="http://schemas.openxmlformats.org/officeDocument/2006/relationships/hyperlink" Target="https://www.aqua-calc.com/page/density-table/substance/dried-blank-mango-coma-and-blank-upc-column--blank-07789043536" TargetMode="External"/><Relationship Id="rId11" Type="http://schemas.openxmlformats.org/officeDocument/2006/relationships/hyperlink" Target="https://www.aqua-calc.com/page/density-table/substance/marshmallow-coma-and-blank-upc-column--blank-052600112751" TargetMode="External"/><Relationship Id="rId5" Type="http://schemas.openxmlformats.org/officeDocument/2006/relationships/hyperlink" Target="https://www.aqua-calc.com/page/density-table/substance/chopped-blank-walnuts-coma-and-blank-upc-column--blank-085239521106" TargetMode="External"/><Relationship Id="rId15" Type="http://schemas.openxmlformats.org/officeDocument/2006/relationships/hyperlink" Target="https://www.aqua-calc.com/page/density-table/substance/seeds-coma-and-blank-sunflower-blank-seed-blank-kernels-coma-and-blank-dry-blank-roasted-coma-and-blank-with-blank-salt-blank-added" TargetMode="External"/><Relationship Id="rId10" Type="http://schemas.openxmlformats.org/officeDocument/2006/relationships/hyperlink" Target="https://www.aqua-calc.com/page/density-table/substance/candies-coma-and-blank-mars-blank-snackfood-blank-us-coma-and-blank-m-blank-and-blank-m-quote-s-blank-peanut-blank-butter-blank-chocolate-blank-candies" TargetMode="External"/><Relationship Id="rId19" Type="http://schemas.openxmlformats.org/officeDocument/2006/relationships/hyperlink" Target="https://www.walmart.ca/en/ip/great-value-ground-cinnamon/6000196207716" TargetMode="External"/><Relationship Id="rId4" Type="http://schemas.openxmlformats.org/officeDocument/2006/relationships/hyperlink" Target="https://www.aqua-calc.com/page/density-table/substance/nuts-coma-and-blank-almonds-coma-and-blank-blanched" TargetMode="External"/><Relationship Id="rId9" Type="http://schemas.openxmlformats.org/officeDocument/2006/relationships/hyperlink" Target="https://www.aqua-calc.com/page/density-table/substance/chocolate-blank-chips-coma-and-blank-upc-column--blank-032797006521" TargetMode="External"/><Relationship Id="rId14" Type="http://schemas.openxmlformats.org/officeDocument/2006/relationships/hyperlink" Target="https://www.aqua-calc.com/page/density-table/substance/roasted-blank-pumpkin-blank-seeds-coma-and-blank-upc-column--blank-0190610928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H23" sqref="H23"/>
    </sheetView>
  </sheetViews>
  <sheetFormatPr defaultRowHeight="14.5" x14ac:dyDescent="0.35"/>
  <cols>
    <col min="1" max="1" width="17" customWidth="1"/>
    <col min="2" max="2" width="46.36328125" customWidth="1"/>
    <col min="3" max="3" width="13.453125" style="1" customWidth="1"/>
    <col min="4" max="4" width="11.26953125" customWidth="1"/>
    <col min="5" max="5" width="15.26953125" customWidth="1"/>
    <col min="6" max="6" width="15.08984375" customWidth="1"/>
    <col min="7" max="7" width="12.08984375" customWidth="1"/>
    <col min="8" max="8" width="17.453125" customWidth="1"/>
  </cols>
  <sheetData>
    <row r="1" spans="1:8" x14ac:dyDescent="0.35">
      <c r="A1" s="2" t="s">
        <v>50</v>
      </c>
      <c r="B1" s="2" t="s">
        <v>49</v>
      </c>
      <c r="C1" s="2" t="s">
        <v>48</v>
      </c>
      <c r="D1" s="3" t="s">
        <v>47</v>
      </c>
      <c r="E1" s="2" t="s">
        <v>46</v>
      </c>
      <c r="F1" s="2" t="s">
        <v>45</v>
      </c>
      <c r="G1" s="2" t="s">
        <v>44</v>
      </c>
      <c r="H1" s="2" t="s">
        <v>43</v>
      </c>
    </row>
    <row r="2" spans="1:8" x14ac:dyDescent="0.35">
      <c r="A2" s="12" t="s">
        <v>18</v>
      </c>
      <c r="B2" t="s">
        <v>24</v>
      </c>
      <c r="C2">
        <v>50</v>
      </c>
      <c r="D2" s="1">
        <v>1.08</v>
      </c>
      <c r="E2" t="s">
        <v>2</v>
      </c>
      <c r="F2" s="6">
        <v>0.14000000000000001</v>
      </c>
      <c r="G2" s="7">
        <f t="shared" ref="G2:G19" si="0">(D2*F2)</f>
        <v>0.15120000000000003</v>
      </c>
    </row>
    <row r="3" spans="1:8" x14ac:dyDescent="0.35">
      <c r="A3" s="12" t="s">
        <v>17</v>
      </c>
      <c r="B3" t="s">
        <v>25</v>
      </c>
      <c r="C3">
        <v>58</v>
      </c>
      <c r="D3" s="1">
        <v>0.51</v>
      </c>
      <c r="E3" t="s">
        <v>2</v>
      </c>
      <c r="F3" s="10">
        <v>0.51</v>
      </c>
      <c r="G3" s="7">
        <f t="shared" si="0"/>
        <v>0.2601</v>
      </c>
    </row>
    <row r="4" spans="1:8" x14ac:dyDescent="0.35">
      <c r="A4" s="12" t="s">
        <v>11</v>
      </c>
      <c r="B4" t="s">
        <v>26</v>
      </c>
      <c r="C4">
        <v>23</v>
      </c>
      <c r="D4" s="1">
        <v>0.92</v>
      </c>
      <c r="E4" t="s">
        <v>3</v>
      </c>
      <c r="F4" s="5">
        <v>0.38</v>
      </c>
      <c r="G4" s="7">
        <f t="shared" si="0"/>
        <v>0.34960000000000002</v>
      </c>
    </row>
    <row r="5" spans="1:8" x14ac:dyDescent="0.35">
      <c r="A5" s="12" t="s">
        <v>22</v>
      </c>
      <c r="B5" t="s">
        <v>27</v>
      </c>
      <c r="C5">
        <v>938</v>
      </c>
      <c r="D5" s="1">
        <v>1.05</v>
      </c>
      <c r="E5" t="s">
        <v>0</v>
      </c>
      <c r="F5" s="5">
        <v>0.41</v>
      </c>
      <c r="G5" s="7">
        <f t="shared" si="0"/>
        <v>0.43049999999999999</v>
      </c>
    </row>
    <row r="6" spans="1:8" x14ac:dyDescent="0.35">
      <c r="A6" s="12" t="s">
        <v>20</v>
      </c>
      <c r="B6" t="s">
        <v>28</v>
      </c>
      <c r="C6">
        <v>135</v>
      </c>
      <c r="D6" s="1">
        <v>0.85</v>
      </c>
      <c r="E6" t="s">
        <v>5</v>
      </c>
      <c r="F6" s="5">
        <v>0.54</v>
      </c>
      <c r="G6" s="7">
        <f t="shared" si="0"/>
        <v>0.45900000000000002</v>
      </c>
    </row>
    <row r="7" spans="1:8" x14ac:dyDescent="0.35">
      <c r="A7" s="12" t="s">
        <v>6</v>
      </c>
      <c r="B7" t="s">
        <v>29</v>
      </c>
      <c r="C7">
        <v>108</v>
      </c>
      <c r="D7" s="1">
        <v>0.76</v>
      </c>
      <c r="E7" t="s">
        <v>4</v>
      </c>
      <c r="F7" s="11">
        <v>0.64</v>
      </c>
      <c r="G7" s="7">
        <f t="shared" si="0"/>
        <v>0.4864</v>
      </c>
    </row>
    <row r="8" spans="1:8" x14ac:dyDescent="0.35">
      <c r="A8" s="12" t="s">
        <v>12</v>
      </c>
      <c r="B8" t="s">
        <v>30</v>
      </c>
      <c r="C8">
        <v>1700</v>
      </c>
      <c r="D8" s="1">
        <v>0.72</v>
      </c>
      <c r="E8" t="s">
        <v>3</v>
      </c>
      <c r="F8" s="5">
        <v>0.68</v>
      </c>
      <c r="G8" s="7">
        <f t="shared" si="0"/>
        <v>0.48960000000000004</v>
      </c>
    </row>
    <row r="9" spans="1:8" x14ac:dyDescent="0.35">
      <c r="A9" s="12" t="s">
        <v>21</v>
      </c>
      <c r="B9" t="s">
        <v>31</v>
      </c>
      <c r="C9">
        <v>2447</v>
      </c>
      <c r="D9" s="1">
        <v>1.1499999999999999</v>
      </c>
      <c r="E9" t="s">
        <v>0</v>
      </c>
      <c r="F9" s="5">
        <v>0.51</v>
      </c>
      <c r="G9" s="7">
        <f t="shared" si="0"/>
        <v>0.58649999999999991</v>
      </c>
    </row>
    <row r="10" spans="1:8" x14ac:dyDescent="0.35">
      <c r="A10" s="12" t="s">
        <v>10</v>
      </c>
      <c r="B10" t="s">
        <v>32</v>
      </c>
      <c r="C10">
        <v>1729</v>
      </c>
      <c r="D10" s="1">
        <v>1.99</v>
      </c>
      <c r="E10" t="s">
        <v>3</v>
      </c>
      <c r="F10" s="11">
        <v>0.34</v>
      </c>
      <c r="G10" s="7">
        <f t="shared" si="0"/>
        <v>0.67660000000000009</v>
      </c>
    </row>
    <row r="11" spans="1:8" x14ac:dyDescent="0.35">
      <c r="A11" s="12" t="s">
        <v>23</v>
      </c>
      <c r="B11" t="s">
        <v>33</v>
      </c>
      <c r="C11">
        <v>859</v>
      </c>
      <c r="D11" s="4">
        <v>1.33</v>
      </c>
      <c r="E11" t="s">
        <v>0</v>
      </c>
      <c r="F11" s="5">
        <v>0.53</v>
      </c>
      <c r="G11" s="8">
        <f t="shared" si="0"/>
        <v>0.70490000000000008</v>
      </c>
    </row>
    <row r="12" spans="1:8" x14ac:dyDescent="0.35">
      <c r="A12" s="12" t="s">
        <v>16</v>
      </c>
      <c r="B12" t="s">
        <v>34</v>
      </c>
      <c r="C12">
        <v>3274</v>
      </c>
      <c r="D12" s="4">
        <v>1.97</v>
      </c>
      <c r="E12" t="s">
        <v>1</v>
      </c>
      <c r="F12" s="5">
        <v>0.41</v>
      </c>
      <c r="G12" s="8">
        <f t="shared" si="0"/>
        <v>0.80769999999999997</v>
      </c>
    </row>
    <row r="13" spans="1:8" x14ac:dyDescent="0.35">
      <c r="A13" s="12" t="s">
        <v>13</v>
      </c>
      <c r="B13" t="s">
        <v>35</v>
      </c>
      <c r="C13">
        <v>1794</v>
      </c>
      <c r="D13" s="1">
        <v>1.25</v>
      </c>
      <c r="E13" t="s">
        <v>3</v>
      </c>
      <c r="F13" s="5">
        <v>0.68</v>
      </c>
      <c r="G13" s="7">
        <f t="shared" si="0"/>
        <v>0.85000000000000009</v>
      </c>
    </row>
    <row r="14" spans="1:8" x14ac:dyDescent="0.35">
      <c r="A14" s="12" t="s">
        <v>14</v>
      </c>
      <c r="B14" t="s">
        <v>36</v>
      </c>
      <c r="C14">
        <v>1794</v>
      </c>
      <c r="D14" s="4">
        <v>0.99</v>
      </c>
      <c r="E14" t="s">
        <v>1</v>
      </c>
      <c r="F14" s="5">
        <v>1.01</v>
      </c>
      <c r="G14" s="8">
        <f t="shared" si="0"/>
        <v>0.99990000000000001</v>
      </c>
    </row>
    <row r="15" spans="1:8" x14ac:dyDescent="0.35">
      <c r="A15" s="12" t="s">
        <v>9</v>
      </c>
      <c r="B15" t="s">
        <v>37</v>
      </c>
      <c r="C15">
        <v>1773</v>
      </c>
      <c r="D15" s="1">
        <v>2.88</v>
      </c>
      <c r="E15" t="s">
        <v>4</v>
      </c>
      <c r="F15" s="5">
        <v>0.47</v>
      </c>
      <c r="G15" s="7">
        <f t="shared" si="0"/>
        <v>1.3535999999999999</v>
      </c>
    </row>
    <row r="16" spans="1:8" x14ac:dyDescent="0.35">
      <c r="A16" s="12" t="s">
        <v>19</v>
      </c>
      <c r="B16" t="s">
        <v>38</v>
      </c>
      <c r="C16">
        <v>28</v>
      </c>
      <c r="D16" s="1">
        <v>2.0499999999999998</v>
      </c>
      <c r="E16" t="s">
        <v>5</v>
      </c>
      <c r="F16" s="5">
        <v>0.68</v>
      </c>
      <c r="G16" s="7">
        <f t="shared" si="0"/>
        <v>1.3939999999999999</v>
      </c>
    </row>
    <row r="17" spans="1:7" x14ac:dyDescent="0.35">
      <c r="A17" s="12" t="s">
        <v>8</v>
      </c>
      <c r="B17" t="s">
        <v>39</v>
      </c>
      <c r="C17">
        <v>118</v>
      </c>
      <c r="D17" s="1">
        <v>2.56</v>
      </c>
      <c r="E17" t="s">
        <v>4</v>
      </c>
      <c r="F17" s="5">
        <v>0.62</v>
      </c>
      <c r="G17" s="7">
        <f t="shared" si="0"/>
        <v>1.5871999999999999</v>
      </c>
    </row>
    <row r="18" spans="1:7" x14ac:dyDescent="0.35">
      <c r="A18" s="12" t="s">
        <v>7</v>
      </c>
      <c r="B18" t="s">
        <v>40</v>
      </c>
      <c r="C18">
        <v>113</v>
      </c>
      <c r="D18" s="1">
        <v>3.09</v>
      </c>
      <c r="E18" t="s">
        <v>4</v>
      </c>
      <c r="F18" s="9">
        <v>0.57999999999999996</v>
      </c>
      <c r="G18" s="7">
        <f t="shared" si="0"/>
        <v>1.7921999999999998</v>
      </c>
    </row>
    <row r="19" spans="1:7" x14ac:dyDescent="0.35">
      <c r="A19" s="12" t="s">
        <v>15</v>
      </c>
      <c r="B19" t="s">
        <v>41</v>
      </c>
      <c r="C19">
        <v>620</v>
      </c>
      <c r="D19" s="4">
        <v>2.4700000000000002</v>
      </c>
      <c r="E19" t="s">
        <v>1</v>
      </c>
      <c r="F19" s="5">
        <v>0.86</v>
      </c>
      <c r="G19" s="8">
        <f t="shared" si="0"/>
        <v>2.1242000000000001</v>
      </c>
    </row>
  </sheetData>
  <conditionalFormatting sqref="G2:G1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hyperlinks>
    <hyperlink ref="F4" r:id="rId1" display="https://www.aqua-calc.com/page/density-table/substance/banana-blank-chips-coma-and-blank-upc-column--blank-021140022707" xr:uid="{781AF3CE-1674-472E-8935-24CE230E9DE5}"/>
    <hyperlink ref="F7" r:id="rId2" display="https://www.aqua-calc.com/page/density-table/substance/peanuts-coma-and-blank-shelled" xr:uid="{F64E8304-87E4-40AE-B2BE-6258F6D820B6}"/>
    <hyperlink ref="F18" r:id="rId3" display="https://www.aqua-calc.com/page/density-table/substance/nuts-coma-and-blank-cashew-blank-nuts-coma-and-blank-dry-blank-roasted-coma-and-blank-without-blank-salt-blank-added" xr:uid="{C9416A82-7DF0-491F-ABB1-C296B894993C}"/>
    <hyperlink ref="F17" r:id="rId4" display="https://www.aqua-calc.com/page/density-table/substance/nuts-coma-and-blank-almonds-coma-and-blank-blanched" xr:uid="{B27F59D6-F4E6-49D3-ACEB-A96739AB25ED}"/>
    <hyperlink ref="F15" r:id="rId5" display="https://www.aqua-calc.com/page/density-table/substance/chopped-blank-walnuts-coma-and-blank-upc-column--blank-085239521106" xr:uid="{32F80FD1-D4C1-483C-9022-37489292185B}"/>
    <hyperlink ref="F10" r:id="rId6" display="https://www.aqua-calc.com/page/density-table/substance/dried-blank-mango-coma-and-blank-upc-column--blank-07789043536" xr:uid="{691B87C7-A2AE-4B66-ADD2-18F2EC25AB4E}"/>
    <hyperlink ref="F8" r:id="rId7" display="https://www.aqua-calc.com/page/density-table/substance/sultana-blank-raisins-coma-and-blank-upc-column--blank-064777812860" xr:uid="{AAC64073-E587-400E-A88D-4943C86C70BF}"/>
    <hyperlink ref="F13" r:id="rId8" display="https://www.aqua-calc.com/page/density-table/substance/dried-blank-cranberries-coma-and-blank-upc-column--blank-070253730535" xr:uid="{4A213918-DDA9-4EB7-AB42-E491AD4F7E29}"/>
    <hyperlink ref="F14" r:id="rId9" display="https://www.aqua-calc.com/page/density-table/substance/chocolate-blank-chips-coma-and-blank-upc-column--blank-032797006521" xr:uid="{BC37C66D-4FBE-43A8-906A-E7ED8A659D8A}"/>
    <hyperlink ref="F19" r:id="rId10" display="https://www.aqua-calc.com/page/density-table/substance/candies-coma-and-blank-mars-blank-snackfood-blank-us-coma-and-blank-m-blank-and-blank-m-quote-s-blank-peanut-blank-butter-blank-chocolate-blank-candies" xr:uid="{1CA35834-A899-4A7B-92C4-2AAB88207E91}"/>
    <hyperlink ref="F12" r:id="rId11" display="https://www.aqua-calc.com/page/density-table/substance/marshmallow-coma-and-blank-upc-column--blank-052600112751" xr:uid="{0A75C8AE-2438-4E43-9256-0DBB4D61F0A1}"/>
    <hyperlink ref="F3" r:id="rId12" display="https://www.aqua-calc.com/page/density-table/substance/pretzels-coma-and-blank-upc-column--blank-030684700392" xr:uid="{DDB2BF1E-9BDF-4807-B73D-6F48CC6F503D}"/>
    <hyperlink ref="F2" r:id="rId13" display="https://www.aqua-calc.com/page/density-table/substance/snacks-coma-and-blank-potato-blank-chips-coma-and-blank-white-coma-and-blank-restructured-coma-and-blank-baked" xr:uid="{ECD6F6A1-9F8B-492C-B6A7-789DB568A60E}"/>
    <hyperlink ref="F16" r:id="rId14" display="https://www.aqua-calc.com/page/density-table/substance/roasted-blank-pumpkin-blank-seeds-coma-and-blank-upc-column--blank-019061092800" xr:uid="{1C8D38EE-C7B9-438A-8D3A-CFF4B53C1C74}"/>
    <hyperlink ref="F6" r:id="rId15" display="https://www.aqua-calc.com/page/density-table/substance/seeds-coma-and-blank-sunflower-blank-seed-blank-kernels-coma-and-blank-dry-blank-roasted-coma-and-blank-with-blank-salt-blank-added" xr:uid="{DD6C84EE-4938-47EB-BA79-9993BD424413}"/>
    <hyperlink ref="F11" r:id="rId16" display="https://www.aqua-calc.com/page/density-table/substance/spices-coma-and-blank-cinnamon-coma-and-blank-ground" xr:uid="{5997A6D7-280D-4232-B9E9-A092F1FF1F92}"/>
    <hyperlink ref="F9" r:id="rId17" display="https://www.aqua-calc.com/page/density-table/substance/sweetened-blank-coconut-blank-flakes-coma-and-blank-upc-column--blank-041268113903" xr:uid="{0FC0609E-7C78-4EA0-BCDD-C69558E6BCC5}"/>
    <hyperlink ref="F5" r:id="rId18" display="https://www.aqua-calc.com/page/density-table/substance/barbecue-blank-seasoning-blank-and-blank-rub-coma-and-blank-upc-column--blank-780778107506" xr:uid="{7091F06C-375D-4783-BCA2-89A624AB9A88}"/>
    <hyperlink ref="D11" r:id="rId19" display="https://www.walmart.ca/en/ip/great-value-ground-cinnamon/6000196207716" xr:uid="{EBFA6B3A-4BB4-4BE2-9268-9280484FBB43}"/>
  </hyperlinks>
  <pageMargins left="0.7" right="0.7" top="0.75" bottom="0.75" header="0.3" footer="0.3"/>
  <pageSetup orientation="portrait" r:id="rId2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4C03165-4AFD-4EE5-937F-7552039363B4}">
          <x14:formula1>
            <xm:f>Defaults!$A$2:$A$6</xm:f>
          </x14:formula1>
          <xm:sqref>D20:D1048576 E2:E19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AEDD3-8629-41EE-A299-7FEE3E2E84D9}">
  <dimension ref="A1:T5"/>
  <sheetViews>
    <sheetView tabSelected="1" workbookViewId="0">
      <selection activeCell="A5" sqref="A5"/>
    </sheetView>
  </sheetViews>
  <sheetFormatPr defaultRowHeight="14.5" x14ac:dyDescent="0.35"/>
  <cols>
    <col min="1" max="1" width="14.81640625" customWidth="1"/>
  </cols>
  <sheetData>
    <row r="1" spans="1:20" x14ac:dyDescent="0.35">
      <c r="A1" s="13" t="s">
        <v>50</v>
      </c>
      <c r="B1" s="13" t="s">
        <v>18</v>
      </c>
      <c r="C1" s="13" t="s">
        <v>17</v>
      </c>
      <c r="D1" s="13" t="s">
        <v>11</v>
      </c>
      <c r="E1" s="13" t="s">
        <v>22</v>
      </c>
      <c r="F1" s="13" t="s">
        <v>20</v>
      </c>
      <c r="G1" s="13" t="s">
        <v>6</v>
      </c>
      <c r="H1" s="13" t="s">
        <v>12</v>
      </c>
      <c r="I1" s="13" t="s">
        <v>21</v>
      </c>
      <c r="J1" s="13" t="s">
        <v>10</v>
      </c>
      <c r="K1" s="13" t="s">
        <v>23</v>
      </c>
      <c r="L1" s="13" t="s">
        <v>16</v>
      </c>
      <c r="M1" s="13" t="s">
        <v>13</v>
      </c>
      <c r="N1" s="13" t="s">
        <v>14</v>
      </c>
      <c r="O1" s="13" t="s">
        <v>9</v>
      </c>
      <c r="P1" s="13" t="s">
        <v>19</v>
      </c>
      <c r="Q1" s="13" t="s">
        <v>8</v>
      </c>
      <c r="R1" s="13" t="s">
        <v>7</v>
      </c>
      <c r="S1" s="13" t="s">
        <v>15</v>
      </c>
      <c r="T1" s="13" t="s">
        <v>43</v>
      </c>
    </row>
    <row r="2" spans="1:20" x14ac:dyDescent="0.35">
      <c r="A2" t="s">
        <v>55</v>
      </c>
      <c r="F2" t="s">
        <v>42</v>
      </c>
      <c r="G2" t="s">
        <v>42</v>
      </c>
      <c r="K2" t="s">
        <v>42</v>
      </c>
      <c r="P2" t="s">
        <v>42</v>
      </c>
      <c r="Q2" t="s">
        <v>42</v>
      </c>
      <c r="R2" t="s">
        <v>42</v>
      </c>
    </row>
    <row r="3" spans="1:20" x14ac:dyDescent="0.35">
      <c r="A3" t="s">
        <v>51</v>
      </c>
      <c r="C3" t="s">
        <v>42</v>
      </c>
      <c r="F3" t="s">
        <v>42</v>
      </c>
      <c r="G3" t="s">
        <v>42</v>
      </c>
      <c r="Q3" t="s">
        <v>42</v>
      </c>
      <c r="R3" t="s">
        <v>42</v>
      </c>
      <c r="S3" t="s">
        <v>42</v>
      </c>
    </row>
    <row r="4" spans="1:20" x14ac:dyDescent="0.35">
      <c r="A4" t="s">
        <v>56</v>
      </c>
      <c r="D4" t="s">
        <v>42</v>
      </c>
      <c r="G4" t="s">
        <v>42</v>
      </c>
      <c r="H4" t="s">
        <v>42</v>
      </c>
      <c r="I4" t="s">
        <v>42</v>
      </c>
      <c r="J4" t="s">
        <v>42</v>
      </c>
      <c r="S4" t="s">
        <v>42</v>
      </c>
    </row>
    <row r="5" spans="1:20" x14ac:dyDescent="0.35">
      <c r="A5" t="s">
        <v>52</v>
      </c>
      <c r="B5" t="s">
        <v>42</v>
      </c>
      <c r="C5" t="s">
        <v>42</v>
      </c>
      <c r="E5" t="s">
        <v>42</v>
      </c>
      <c r="F5" t="s">
        <v>42</v>
      </c>
      <c r="G5" t="s">
        <v>42</v>
      </c>
      <c r="N5" t="s">
        <v>42</v>
      </c>
      <c r="P5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687E8-A2E5-423B-95B3-28ECB0F8801A}">
  <dimension ref="A1:B7"/>
  <sheetViews>
    <sheetView workbookViewId="0">
      <selection activeCell="N20" sqref="N20"/>
    </sheetView>
  </sheetViews>
  <sheetFormatPr defaultRowHeight="14.5" x14ac:dyDescent="0.35"/>
  <cols>
    <col min="1" max="1" width="9.7265625" customWidth="1"/>
  </cols>
  <sheetData>
    <row r="1" spans="1:2" x14ac:dyDescent="0.35">
      <c r="A1" s="14" t="s">
        <v>53</v>
      </c>
      <c r="B1" s="14" t="s">
        <v>54</v>
      </c>
    </row>
    <row r="2" spans="1:2" x14ac:dyDescent="0.35">
      <c r="A2" t="s">
        <v>4</v>
      </c>
      <c r="B2">
        <v>3</v>
      </c>
    </row>
    <row r="3" spans="1:2" x14ac:dyDescent="0.35">
      <c r="A3" t="s">
        <v>5</v>
      </c>
      <c r="B3">
        <v>2</v>
      </c>
    </row>
    <row r="4" spans="1:2" x14ac:dyDescent="0.35">
      <c r="A4" t="s">
        <v>3</v>
      </c>
      <c r="B4">
        <v>3</v>
      </c>
    </row>
    <row r="5" spans="1:2" x14ac:dyDescent="0.35">
      <c r="A5" t="s">
        <v>1</v>
      </c>
      <c r="B5">
        <v>2</v>
      </c>
    </row>
    <row r="6" spans="1:2" x14ac:dyDescent="0.35">
      <c r="A6" t="s">
        <v>2</v>
      </c>
      <c r="B6">
        <v>2</v>
      </c>
    </row>
    <row r="7" spans="1:2" x14ac:dyDescent="0.35">
      <c r="A7" t="s">
        <v>0</v>
      </c>
      <c r="B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Options</vt:lpstr>
      <vt:lpstr>Premade</vt:lpstr>
      <vt:lpstr>Defaults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 Malik</dc:creator>
  <cp:lastModifiedBy>Faraz Malik</cp:lastModifiedBy>
  <dcterms:created xsi:type="dcterms:W3CDTF">2015-06-05T18:17:20Z</dcterms:created>
  <dcterms:modified xsi:type="dcterms:W3CDTF">2020-11-05T22:06:20Z</dcterms:modified>
</cp:coreProperties>
</file>